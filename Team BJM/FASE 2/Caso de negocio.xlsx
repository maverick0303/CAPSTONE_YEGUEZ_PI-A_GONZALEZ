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1" sheetId="1" r:id="rId4"/>
    <sheet state="visible" name="OFICIAL" sheetId="2" r:id="rId5"/>
  </sheets>
  <definedNames/>
  <calcPr/>
  <extLst>
    <ext uri="GoogleSheetsCustomDataVersion2">
      <go:sheetsCustomData xmlns:go="http://customooxmlschemas.google.com/" r:id="rId6" roundtripDataChecksum="NDg14O1/D+knQ0oQh+9X94ynxWO529Yo3V5ILr0nDSo="/>
    </ext>
  </extLst>
</workbook>
</file>

<file path=xl/sharedStrings.xml><?xml version="1.0" encoding="utf-8"?>
<sst xmlns="http://schemas.openxmlformats.org/spreadsheetml/2006/main" count="84" uniqueCount="69">
  <si>
    <t>CAPSTONE 2025 2DO Semestre</t>
  </si>
  <si>
    <t>ejemplo</t>
  </si>
  <si>
    <t>Transacciones diaris</t>
  </si>
  <si>
    <t>detallado</t>
  </si>
  <si>
    <t>mes</t>
  </si>
  <si>
    <t>año</t>
  </si>
  <si>
    <t>trx</t>
  </si>
  <si>
    <t>Año 0</t>
  </si>
  <si>
    <t>Año 1</t>
  </si>
  <si>
    <t>Año 2</t>
  </si>
  <si>
    <t>Año 3</t>
  </si>
  <si>
    <t>Año 4</t>
  </si>
  <si>
    <t>Año 5</t>
  </si>
  <si>
    <t>Ingresos</t>
  </si>
  <si>
    <t>Tasa Crecimiento</t>
  </si>
  <si>
    <t>Comisión</t>
  </si>
  <si>
    <t>Egresos</t>
  </si>
  <si>
    <t>Sueldos</t>
  </si>
  <si>
    <t>Infraestructura</t>
  </si>
  <si>
    <t>Prestamo</t>
  </si>
  <si>
    <t>Telco</t>
  </si>
  <si>
    <t>WWW</t>
  </si>
  <si>
    <t>Total</t>
  </si>
  <si>
    <t>VAN</t>
  </si>
  <si>
    <t>TIR</t>
  </si>
  <si>
    <t>PayBack</t>
  </si>
  <si>
    <t>2 años</t>
  </si>
  <si>
    <t>INGRESOS</t>
  </si>
  <si>
    <t>EGRESOS</t>
  </si>
  <si>
    <t>Concepto</t>
  </si>
  <si>
    <t>AÑO 0</t>
  </si>
  <si>
    <t>AÑO 1</t>
  </si>
  <si>
    <t>AÑO 2</t>
  </si>
  <si>
    <t>AÑO 3</t>
  </si>
  <si>
    <t>AÑO 4</t>
  </si>
  <si>
    <t>AÑO 5</t>
  </si>
  <si>
    <t>Servicio/mes</t>
  </si>
  <si>
    <t>Dominio</t>
  </si>
  <si>
    <t>Valor Promedio</t>
  </si>
  <si>
    <t>TASA DE COMISION</t>
  </si>
  <si>
    <t>Google Cloud</t>
  </si>
  <si>
    <t>Rango tarifa</t>
  </si>
  <si>
    <t>$1-$50.000</t>
  </si>
  <si>
    <t>$50.001-$100.000</t>
  </si>
  <si>
    <t>Pasarela de pago</t>
  </si>
  <si>
    <t>Comisión %</t>
  </si>
  <si>
    <t>Mantenimiento</t>
  </si>
  <si>
    <t>Comisión mensual</t>
  </si>
  <si>
    <t>SUELDOS</t>
  </si>
  <si>
    <t>Comisión anual</t>
  </si>
  <si>
    <t>María Yeguez</t>
  </si>
  <si>
    <t>Profesional Basico</t>
  </si>
  <si>
    <t>Bladimir Piña</t>
  </si>
  <si>
    <t>Profesional premium</t>
  </si>
  <si>
    <t>Juan Gonzalez</t>
  </si>
  <si>
    <t>Profesionales Featured</t>
  </si>
  <si>
    <t>TOTAL</t>
  </si>
  <si>
    <t>Ingreso Basico</t>
  </si>
  <si>
    <t>Ingreso premium</t>
  </si>
  <si>
    <t>Ingreso Featured</t>
  </si>
  <si>
    <t>Total Ingreso</t>
  </si>
  <si>
    <t>FLUJO DE CAJA</t>
  </si>
  <si>
    <t>PAYBACK</t>
  </si>
  <si>
    <t>2 años y 1 meses</t>
  </si>
  <si>
    <t>AÑO</t>
  </si>
  <si>
    <t>TOTAL INGRESO</t>
  </si>
  <si>
    <t>FLUJO NETO</t>
  </si>
  <si>
    <t>TOTAL EGRESO</t>
  </si>
  <si>
    <t>FLUJO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</si>
</sst>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_ ;_ @_ "/>
    <numFmt numFmtId="165" formatCode="&quot;$&quot;#,##0.00;[Red]&quot;$&quot;\-#,##0.00"/>
    <numFmt numFmtId="166" formatCode="[$$]#,##0"/>
  </numFmts>
  <fonts count="7">
    <font>
      <sz val="11.0"/>
      <color theme="1"/>
      <name val="Calibri"/>
      <scheme val="minor"/>
    </font>
    <font>
      <b/>
      <sz val="24.0"/>
      <color theme="1"/>
      <name val="Calibri"/>
    </font>
    <font>
      <b/>
      <sz val="20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1" fillId="0" fontId="5" numFmtId="0" xfId="0" applyBorder="1" applyFont="1"/>
    <xf borderId="1" fillId="0" fontId="5" numFmtId="9" xfId="0" applyBorder="1" applyFont="1" applyNumberFormat="1"/>
    <xf borderId="1" fillId="0" fontId="5" numFmtId="164" xfId="0" applyBorder="1" applyFont="1" applyNumberFormat="1"/>
    <xf borderId="1" fillId="0" fontId="5" numFmtId="165" xfId="0" applyBorder="1" applyFont="1" applyNumberFormat="1"/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horizontal="center" vertical="center"/>
    </xf>
    <xf borderId="8" fillId="2" fontId="3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1" fillId="0" fontId="3" numFmtId="9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7.29"/>
    <col customWidth="1" min="2" max="2" width="13.86"/>
    <col customWidth="1" min="3" max="3" width="18.0"/>
    <col customWidth="1" min="4" max="4" width="11.29"/>
    <col customWidth="1" min="5" max="5" width="12.86"/>
    <col customWidth="1" min="6" max="6" width="11.71"/>
    <col customWidth="1" min="7" max="8" width="11.29"/>
    <col customWidth="1" min="9" max="26" width="10.71"/>
  </cols>
  <sheetData>
    <row r="1">
      <c r="A1" s="1" t="s">
        <v>0</v>
      </c>
    </row>
    <row r="2">
      <c r="A2" s="2" t="s">
        <v>1</v>
      </c>
      <c r="C2" s="3" t="s">
        <v>2</v>
      </c>
      <c r="D2" s="3">
        <v>15.0</v>
      </c>
    </row>
    <row r="3">
      <c r="A3" s="4" t="s">
        <v>3</v>
      </c>
      <c r="B3" s="3" t="s">
        <v>4</v>
      </c>
      <c r="C3" s="3">
        <v>30.0</v>
      </c>
      <c r="D3" s="3">
        <f t="shared" ref="D3:D4" si="1">+D2*C3</f>
        <v>450</v>
      </c>
    </row>
    <row r="4">
      <c r="B4" s="3" t="s">
        <v>5</v>
      </c>
      <c r="C4" s="3">
        <v>12.0</v>
      </c>
      <c r="D4" s="3">
        <f t="shared" si="1"/>
        <v>5400</v>
      </c>
      <c r="E4" s="3">
        <f>+D6/C4</f>
        <v>40000</v>
      </c>
    </row>
    <row r="5">
      <c r="C5" s="3" t="s">
        <v>6</v>
      </c>
      <c r="D5" s="3">
        <v>60000.0</v>
      </c>
      <c r="E5" s="5">
        <f>+D5*D4</f>
        <v>324000000</v>
      </c>
      <c r="F5" s="3">
        <f>+E5*0.06</f>
        <v>19440000</v>
      </c>
      <c r="G5" s="5">
        <f>+F5*0.6</f>
        <v>11664000</v>
      </c>
      <c r="H5" s="3">
        <f>+G5/12</f>
        <v>972000</v>
      </c>
    </row>
    <row r="6">
      <c r="D6" s="3">
        <f>+E6/D5</f>
        <v>480000</v>
      </c>
      <c r="E6" s="3">
        <f>+F6*20</f>
        <v>28800000000</v>
      </c>
      <c r="F6" s="3">
        <f>+G6/0.05</f>
        <v>1440000000</v>
      </c>
      <c r="G6" s="5">
        <f>+H6*12</f>
        <v>72000000</v>
      </c>
      <c r="H6" s="3">
        <v>6000000.0</v>
      </c>
    </row>
    <row r="7">
      <c r="B7" s="6"/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</row>
    <row r="8">
      <c r="B8" s="6" t="s">
        <v>13</v>
      </c>
      <c r="C8" s="6" t="s">
        <v>14</v>
      </c>
      <c r="D8" s="6"/>
      <c r="E8" s="7">
        <f>+E9/D9</f>
        <v>6.172839506</v>
      </c>
      <c r="F8" s="7">
        <v>0.1</v>
      </c>
      <c r="G8" s="6"/>
      <c r="H8" s="6"/>
    </row>
    <row r="9">
      <c r="B9" s="6" t="s">
        <v>15</v>
      </c>
      <c r="C9" s="6"/>
      <c r="D9" s="8">
        <f>+G5</f>
        <v>11664000</v>
      </c>
      <c r="E9" s="8">
        <f>+G6</f>
        <v>72000000</v>
      </c>
      <c r="F9" s="8">
        <f t="shared" ref="F9:H9" si="2">+E9*1.1</f>
        <v>79200000</v>
      </c>
      <c r="G9" s="8">
        <f t="shared" si="2"/>
        <v>87120000</v>
      </c>
      <c r="H9" s="8">
        <f t="shared" si="2"/>
        <v>95832000</v>
      </c>
      <c r="I9" s="5"/>
    </row>
    <row r="10">
      <c r="B10" s="6"/>
      <c r="C10" s="6"/>
      <c r="D10" s="6"/>
      <c r="E10" s="6"/>
      <c r="F10" s="6"/>
      <c r="G10" s="6"/>
      <c r="H10" s="6"/>
    </row>
    <row r="11">
      <c r="B11" s="6"/>
      <c r="C11" s="6"/>
      <c r="D11" s="6"/>
      <c r="E11" s="6"/>
      <c r="F11" s="6"/>
      <c r="G11" s="6"/>
      <c r="H11" s="6"/>
    </row>
    <row r="12">
      <c r="B12" s="6" t="s">
        <v>16</v>
      </c>
      <c r="C12" s="6"/>
      <c r="D12" s="6"/>
      <c r="E12" s="6"/>
      <c r="F12" s="6"/>
      <c r="G12" s="6"/>
      <c r="H12" s="6"/>
    </row>
    <row r="13">
      <c r="B13" s="6"/>
      <c r="C13" s="6"/>
      <c r="D13" s="6"/>
      <c r="E13" s="6"/>
      <c r="F13" s="6"/>
      <c r="G13" s="6"/>
      <c r="H13" s="6"/>
    </row>
    <row r="14">
      <c r="B14" s="6" t="s">
        <v>17</v>
      </c>
      <c r="C14" s="8">
        <f>-(1650000*4)</f>
        <v>-6600000</v>
      </c>
      <c r="D14" s="8">
        <f t="shared" ref="D14:H14" si="3">-(1650000*12)</f>
        <v>-19800000</v>
      </c>
      <c r="E14" s="8">
        <f t="shared" si="3"/>
        <v>-19800000</v>
      </c>
      <c r="F14" s="8">
        <f t="shared" si="3"/>
        <v>-19800000</v>
      </c>
      <c r="G14" s="8">
        <f t="shared" si="3"/>
        <v>-19800000</v>
      </c>
      <c r="H14" s="8">
        <f t="shared" si="3"/>
        <v>-19800000</v>
      </c>
    </row>
    <row r="15">
      <c r="B15" s="6" t="s">
        <v>18</v>
      </c>
      <c r="C15" s="6">
        <v>0.0</v>
      </c>
      <c r="D15" s="6">
        <v>-30000.0</v>
      </c>
      <c r="E15" s="6">
        <v>-29999.0</v>
      </c>
      <c r="F15" s="6">
        <v>-29998.0</v>
      </c>
      <c r="G15" s="6">
        <v>-29997.0</v>
      </c>
      <c r="H15" s="6">
        <v>-29996.0</v>
      </c>
    </row>
    <row r="16">
      <c r="B16" s="6" t="s">
        <v>19</v>
      </c>
      <c r="C16" s="6"/>
      <c r="D16" s="8">
        <f t="shared" ref="D16:H16" si="4">-(850000*12)</f>
        <v>-10200000</v>
      </c>
      <c r="E16" s="8">
        <f t="shared" si="4"/>
        <v>-10200000</v>
      </c>
      <c r="F16" s="8">
        <f t="shared" si="4"/>
        <v>-10200000</v>
      </c>
      <c r="G16" s="8">
        <f t="shared" si="4"/>
        <v>-10200000</v>
      </c>
      <c r="H16" s="8">
        <f t="shared" si="4"/>
        <v>-10200000</v>
      </c>
    </row>
    <row r="17">
      <c r="B17" s="6" t="s">
        <v>20</v>
      </c>
      <c r="C17" s="6"/>
      <c r="D17" s="6"/>
      <c r="E17" s="6"/>
      <c r="F17" s="6"/>
      <c r="G17" s="6"/>
      <c r="H17" s="6"/>
    </row>
    <row r="18">
      <c r="B18" s="6" t="s">
        <v>21</v>
      </c>
      <c r="C18" s="8">
        <v>-10000.0</v>
      </c>
      <c r="D18" s="8">
        <v>-10000.0</v>
      </c>
      <c r="E18" s="8">
        <v>-9999.0</v>
      </c>
      <c r="F18" s="8">
        <v>-9998.0</v>
      </c>
      <c r="G18" s="8">
        <v>-9997.0</v>
      </c>
      <c r="H18" s="8">
        <v>-9996.0</v>
      </c>
    </row>
    <row r="19">
      <c r="B19" s="6" t="s">
        <v>22</v>
      </c>
      <c r="C19" s="8">
        <f t="shared" ref="C19:H19" si="5">SUM(C8:C18)</f>
        <v>-6610000</v>
      </c>
      <c r="D19" s="8">
        <f t="shared" si="5"/>
        <v>-18376000</v>
      </c>
      <c r="E19" s="8">
        <f t="shared" si="5"/>
        <v>41960008.17</v>
      </c>
      <c r="F19" s="8">
        <f t="shared" si="5"/>
        <v>49160004.1</v>
      </c>
      <c r="G19" s="8">
        <f t="shared" si="5"/>
        <v>57080006</v>
      </c>
      <c r="H19" s="8">
        <f t="shared" si="5"/>
        <v>65792008</v>
      </c>
    </row>
    <row r="20">
      <c r="D20" s="5">
        <f>+D19+C19</f>
        <v>-24986000</v>
      </c>
      <c r="E20" s="5">
        <f>+E19+D20</f>
        <v>16974008.17</v>
      </c>
    </row>
    <row r="21" ht="15.75" customHeight="1">
      <c r="B21" s="6" t="s">
        <v>23</v>
      </c>
      <c r="C21" s="9">
        <f t="array" ref="C21">NPV(10%,C19:H19)</f>
        <v>116486317.9</v>
      </c>
    </row>
    <row r="22" ht="15.75" customHeight="1">
      <c r="B22" s="6" t="s">
        <v>24</v>
      </c>
      <c r="C22" s="7">
        <f>IRR(C19:H19)</f>
        <v>1.330986339</v>
      </c>
    </row>
    <row r="23" ht="15.75" customHeight="1">
      <c r="B23" s="6" t="s">
        <v>25</v>
      </c>
      <c r="C23" s="6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0.57"/>
    <col customWidth="1" min="3" max="4" width="11.29"/>
    <col customWidth="1" min="5" max="6" width="11.71"/>
    <col customWidth="1" min="7" max="8" width="16.57"/>
    <col customWidth="1" min="9" max="9" width="17.71"/>
    <col customWidth="1" min="10" max="10" width="18.29"/>
    <col customWidth="1" min="11" max="11" width="15.57"/>
    <col customWidth="1" min="12" max="14" width="11.29"/>
    <col customWidth="1" min="15" max="16" width="11.71"/>
    <col customWidth="1" min="17" max="26" width="33.57"/>
  </cols>
  <sheetData>
    <row r="1">
      <c r="A1" s="10"/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/>
      <c r="B3" s="12"/>
      <c r="C3" s="12"/>
      <c r="D3" s="12"/>
      <c r="E3" s="12"/>
      <c r="F3" s="12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/>
      <c r="B4" s="12"/>
      <c r="C4" s="12"/>
      <c r="D4" s="12"/>
      <c r="E4" s="12"/>
      <c r="F4" s="12"/>
      <c r="G4" s="12"/>
      <c r="H4" s="13"/>
      <c r="I4" s="13"/>
      <c r="J4" s="1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/>
      <c r="B5" s="14" t="s">
        <v>27</v>
      </c>
      <c r="C5" s="15"/>
      <c r="D5" s="15"/>
      <c r="E5" s="15"/>
      <c r="F5" s="15"/>
      <c r="G5" s="15"/>
      <c r="H5" s="16"/>
      <c r="I5" s="13"/>
      <c r="J5" s="14" t="s">
        <v>28</v>
      </c>
      <c r="K5" s="15"/>
      <c r="L5" s="15"/>
      <c r="M5" s="15"/>
      <c r="N5" s="15"/>
      <c r="O5" s="15"/>
      <c r="P5" s="16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/>
      <c r="B6" s="17"/>
      <c r="C6" s="18"/>
      <c r="D6" s="18"/>
      <c r="E6" s="18"/>
      <c r="F6" s="18"/>
      <c r="G6" s="18"/>
      <c r="H6" s="19"/>
      <c r="I6" s="11"/>
      <c r="J6" s="17"/>
      <c r="K6" s="18"/>
      <c r="L6" s="18"/>
      <c r="M6" s="18"/>
      <c r="N6" s="18"/>
      <c r="O6" s="18"/>
      <c r="P6" s="19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/>
      <c r="B7" s="20" t="s">
        <v>29</v>
      </c>
      <c r="C7" s="20">
        <v>0.0</v>
      </c>
      <c r="D7" s="20">
        <v>1.0</v>
      </c>
      <c r="E7" s="20">
        <v>2.0</v>
      </c>
      <c r="F7" s="20">
        <v>3.0</v>
      </c>
      <c r="G7" s="20">
        <v>4.0</v>
      </c>
      <c r="H7" s="20">
        <v>5.0</v>
      </c>
      <c r="I7" s="11"/>
      <c r="J7" s="20" t="s">
        <v>29</v>
      </c>
      <c r="K7" s="20" t="s">
        <v>30</v>
      </c>
      <c r="L7" s="20" t="s">
        <v>31</v>
      </c>
      <c r="M7" s="20" t="s">
        <v>32</v>
      </c>
      <c r="N7" s="20" t="s">
        <v>33</v>
      </c>
      <c r="O7" s="20" t="s">
        <v>34</v>
      </c>
      <c r="P7" s="20" t="s">
        <v>35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/>
      <c r="B8" s="20" t="s">
        <v>36</v>
      </c>
      <c r="C8" s="20">
        <v>125.0</v>
      </c>
      <c r="D8" s="20">
        <v>135.0</v>
      </c>
      <c r="E8" s="20">
        <v>145.0</v>
      </c>
      <c r="F8" s="20">
        <v>155.0</v>
      </c>
      <c r="G8" s="20">
        <v>165.0</v>
      </c>
      <c r="H8" s="20">
        <v>175.0</v>
      </c>
      <c r="I8" s="11"/>
      <c r="J8" s="20" t="s">
        <v>37</v>
      </c>
      <c r="K8" s="21">
        <v>-9990.0</v>
      </c>
      <c r="L8" s="21">
        <v>-9990.0</v>
      </c>
      <c r="M8" s="21">
        <v>-9990.0</v>
      </c>
      <c r="N8" s="21">
        <v>-9990.0</v>
      </c>
      <c r="O8" s="21">
        <v>-9990.0</v>
      </c>
      <c r="P8" s="21">
        <v>-9990.0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/>
      <c r="B9" s="20" t="s">
        <v>38</v>
      </c>
      <c r="C9" s="21">
        <v>39990.0</v>
      </c>
      <c r="D9" s="21">
        <v>40000.0</v>
      </c>
      <c r="E9" s="21">
        <v>43600.0</v>
      </c>
      <c r="F9" s="21">
        <v>50000.0</v>
      </c>
      <c r="G9" s="21">
        <v>55500.0</v>
      </c>
      <c r="H9" s="21">
        <v>80000.0</v>
      </c>
      <c r="I9" s="13" t="s">
        <v>39</v>
      </c>
      <c r="J9" s="20" t="s">
        <v>40</v>
      </c>
      <c r="K9" s="21">
        <v>0.0</v>
      </c>
      <c r="L9" s="21">
        <v>-50000.0</v>
      </c>
      <c r="M9" s="21">
        <v>-150000.0</v>
      </c>
      <c r="N9" s="21">
        <v>-180000.0</v>
      </c>
      <c r="O9" s="21">
        <v>-210000.0</v>
      </c>
      <c r="P9" s="21">
        <v>-240000.0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/>
      <c r="B10" s="20" t="s">
        <v>41</v>
      </c>
      <c r="C10" s="20" t="s">
        <v>42</v>
      </c>
      <c r="D10" s="20" t="s">
        <v>42</v>
      </c>
      <c r="E10" s="20" t="s">
        <v>42</v>
      </c>
      <c r="F10" s="20" t="s">
        <v>42</v>
      </c>
      <c r="G10" s="20" t="s">
        <v>43</v>
      </c>
      <c r="H10" s="20" t="s">
        <v>43</v>
      </c>
      <c r="I10" s="13">
        <v>0.0319</v>
      </c>
      <c r="J10" s="20" t="s">
        <v>44</v>
      </c>
      <c r="K10" s="21">
        <f>-(C8*C9*I10)</f>
        <v>-159460.125</v>
      </c>
      <c r="L10" s="21">
        <f>-(D8*D9*I10)</f>
        <v>-172260</v>
      </c>
      <c r="M10" s="21">
        <f>-(E8*E9*I10)</f>
        <v>-201671.8</v>
      </c>
      <c r="N10" s="21">
        <f>-(F8*F9*I10)</f>
        <v>-247225</v>
      </c>
      <c r="O10" s="21">
        <f>-(G8*G9*I10)</f>
        <v>-292124.25</v>
      </c>
      <c r="P10" s="21">
        <f>-(H8*H9*I10)</f>
        <v>-446600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/>
      <c r="B11" s="20" t="s">
        <v>45</v>
      </c>
      <c r="C11" s="22">
        <v>0.06</v>
      </c>
      <c r="D11" s="22">
        <v>0.06</v>
      </c>
      <c r="E11" s="22">
        <v>0.06</v>
      </c>
      <c r="F11" s="22">
        <v>0.06</v>
      </c>
      <c r="G11" s="22">
        <v>0.05</v>
      </c>
      <c r="H11" s="22">
        <v>0.05</v>
      </c>
      <c r="I11" s="11"/>
      <c r="J11" s="20" t="s">
        <v>46</v>
      </c>
      <c r="K11" s="21">
        <v>-300000.0</v>
      </c>
      <c r="L11" s="21">
        <v>-310000.0</v>
      </c>
      <c r="M11" s="21">
        <v>-320000.0</v>
      </c>
      <c r="N11" s="21">
        <v>-330000.0</v>
      </c>
      <c r="O11" s="21">
        <v>-340000.0</v>
      </c>
      <c r="P11" s="21">
        <v>-350000.0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/>
      <c r="B12" s="20" t="s">
        <v>47</v>
      </c>
      <c r="C12" s="23">
        <f t="shared" ref="C12:H12" si="1">C9*C11</f>
        <v>2399.4</v>
      </c>
      <c r="D12" s="23">
        <f t="shared" si="1"/>
        <v>2400</v>
      </c>
      <c r="E12" s="23">
        <f t="shared" si="1"/>
        <v>2616</v>
      </c>
      <c r="F12" s="23">
        <f t="shared" si="1"/>
        <v>3000</v>
      </c>
      <c r="G12" s="23">
        <f t="shared" si="1"/>
        <v>2775</v>
      </c>
      <c r="H12" s="23">
        <f t="shared" si="1"/>
        <v>4000</v>
      </c>
      <c r="I12" s="11"/>
      <c r="J12" s="24" t="s">
        <v>48</v>
      </c>
      <c r="K12" s="25"/>
      <c r="L12" s="25"/>
      <c r="M12" s="25"/>
      <c r="N12" s="25"/>
      <c r="O12" s="25"/>
      <c r="P12" s="26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/>
      <c r="B13" s="20" t="s">
        <v>49</v>
      </c>
      <c r="C13" s="23">
        <f t="shared" ref="C13:H13" si="2">C8*C9*C11*12</f>
        <v>3599100</v>
      </c>
      <c r="D13" s="23">
        <f t="shared" si="2"/>
        <v>3888000</v>
      </c>
      <c r="E13" s="23">
        <f t="shared" si="2"/>
        <v>4551840</v>
      </c>
      <c r="F13" s="23">
        <f t="shared" si="2"/>
        <v>5580000</v>
      </c>
      <c r="G13" s="23">
        <f t="shared" si="2"/>
        <v>5494500</v>
      </c>
      <c r="H13" s="23">
        <f t="shared" si="2"/>
        <v>8400000</v>
      </c>
      <c r="I13" s="11"/>
      <c r="J13" s="20" t="s">
        <v>50</v>
      </c>
      <c r="K13" s="23">
        <f>+(-1780000*(1.03)^(C7-1))</f>
        <v>-1728155.34</v>
      </c>
      <c r="L13" s="23">
        <f>+(-1800000*(1.03)^(D7-1))</f>
        <v>-1800000</v>
      </c>
      <c r="M13" s="23">
        <f t="shared" ref="M13:P13" si="3">+(L13*(1.03)^(E7-1))</f>
        <v>-1854000</v>
      </c>
      <c r="N13" s="23">
        <f t="shared" si="3"/>
        <v>-1966908.6</v>
      </c>
      <c r="O13" s="23">
        <f t="shared" si="3"/>
        <v>-2149294.134</v>
      </c>
      <c r="P13" s="23">
        <f t="shared" si="3"/>
        <v>-2419049.483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/>
      <c r="B14" s="27" t="s">
        <v>51</v>
      </c>
      <c r="C14" s="20">
        <v>0.0</v>
      </c>
      <c r="D14" s="20">
        <v>5.0</v>
      </c>
      <c r="E14" s="20">
        <v>12.0</v>
      </c>
      <c r="F14" s="20">
        <v>17.0</v>
      </c>
      <c r="G14" s="20">
        <v>24.0</v>
      </c>
      <c r="H14" s="20">
        <v>26.0</v>
      </c>
      <c r="I14" s="11"/>
      <c r="J14" s="20" t="s">
        <v>52</v>
      </c>
      <c r="K14" s="23">
        <f>+(-2100000*(1.03)^(C7-1))</f>
        <v>-2038834.951</v>
      </c>
      <c r="L14" s="23">
        <f>+(-2160000*(1.03)^(D7-1))</f>
        <v>-2160000</v>
      </c>
      <c r="M14" s="23">
        <f t="shared" ref="M14:P14" si="4">+(L14*(1.03)^(E7-1))</f>
        <v>-2224800</v>
      </c>
      <c r="N14" s="23">
        <f t="shared" si="4"/>
        <v>-2360290.32</v>
      </c>
      <c r="O14" s="23">
        <f t="shared" si="4"/>
        <v>-2579152.961</v>
      </c>
      <c r="P14" s="23">
        <f t="shared" si="4"/>
        <v>-2902859.379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/>
      <c r="B15" s="20" t="s">
        <v>53</v>
      </c>
      <c r="C15" s="20">
        <v>0.0</v>
      </c>
      <c r="D15" s="20">
        <v>4.0</v>
      </c>
      <c r="E15" s="20">
        <v>13.0</v>
      </c>
      <c r="F15" s="20">
        <v>18.0</v>
      </c>
      <c r="G15" s="20">
        <v>26.0</v>
      </c>
      <c r="H15" s="20">
        <v>28.0</v>
      </c>
      <c r="I15" s="11"/>
      <c r="J15" s="20" t="s">
        <v>54</v>
      </c>
      <c r="K15" s="23">
        <f>+(-2500000*(1.03)^(C7-1))</f>
        <v>-2427184.466</v>
      </c>
      <c r="L15" s="23">
        <f>+(-2400000*(1.03)^(D7-1))</f>
        <v>-2400000</v>
      </c>
      <c r="M15" s="23">
        <f t="shared" ref="M15:P15" si="5">+(L15*(1.03)^(E7-1))</f>
        <v>-2472000</v>
      </c>
      <c r="N15" s="23">
        <f t="shared" si="5"/>
        <v>-2622544.8</v>
      </c>
      <c r="O15" s="23">
        <f t="shared" si="5"/>
        <v>-2865725.512</v>
      </c>
      <c r="P15" s="23">
        <f t="shared" si="5"/>
        <v>-3225399.31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/>
      <c r="B16" s="20" t="s">
        <v>55</v>
      </c>
      <c r="C16" s="20">
        <v>0.0</v>
      </c>
      <c r="D16" s="20">
        <v>3.0</v>
      </c>
      <c r="E16" s="20">
        <v>11.0</v>
      </c>
      <c r="F16" s="20">
        <v>16.0</v>
      </c>
      <c r="G16" s="20">
        <v>25.0</v>
      </c>
      <c r="H16" s="20">
        <v>27.0</v>
      </c>
      <c r="I16" s="11"/>
      <c r="J16" s="20" t="s">
        <v>56</v>
      </c>
      <c r="K16" s="23">
        <f t="shared" ref="K16:P16" si="6">SUM(K8:K15)</f>
        <v>-6663624.882</v>
      </c>
      <c r="L16" s="23">
        <f t="shared" si="6"/>
        <v>-6902250</v>
      </c>
      <c r="M16" s="23">
        <f t="shared" si="6"/>
        <v>-7232461.8</v>
      </c>
      <c r="N16" s="23">
        <f t="shared" si="6"/>
        <v>-7716958.72</v>
      </c>
      <c r="O16" s="23">
        <f t="shared" si="6"/>
        <v>-8446286.856</v>
      </c>
      <c r="P16" s="23">
        <f t="shared" si="6"/>
        <v>-9593898.173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20" t="s">
        <v>57</v>
      </c>
      <c r="C17" s="21">
        <v>0.0</v>
      </c>
      <c r="D17" s="23">
        <f t="shared" ref="D17:H17" si="7">D14*6650*12</f>
        <v>399000</v>
      </c>
      <c r="E17" s="23">
        <f t="shared" si="7"/>
        <v>957600</v>
      </c>
      <c r="F17" s="23">
        <f t="shared" si="7"/>
        <v>1356600</v>
      </c>
      <c r="G17" s="23">
        <f t="shared" si="7"/>
        <v>1915200</v>
      </c>
      <c r="H17" s="23">
        <f t="shared" si="7"/>
        <v>2074800</v>
      </c>
      <c r="I17" s="11"/>
      <c r="J17" s="12"/>
      <c r="K17" s="12"/>
      <c r="L17" s="12"/>
      <c r="M17" s="12"/>
      <c r="N17" s="12"/>
      <c r="O17" s="12"/>
      <c r="P17" s="12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20" t="s">
        <v>58</v>
      </c>
      <c r="C18" s="21">
        <f t="shared" ref="C18:H18" si="8">C15*17550*12</f>
        <v>0</v>
      </c>
      <c r="D18" s="23">
        <f t="shared" si="8"/>
        <v>842400</v>
      </c>
      <c r="E18" s="23">
        <f t="shared" si="8"/>
        <v>2737800</v>
      </c>
      <c r="F18" s="23">
        <f t="shared" si="8"/>
        <v>3790800</v>
      </c>
      <c r="G18" s="23">
        <f t="shared" si="8"/>
        <v>5475600</v>
      </c>
      <c r="H18" s="23">
        <f t="shared" si="8"/>
        <v>5896800</v>
      </c>
      <c r="I18" s="11"/>
      <c r="J18" s="12"/>
      <c r="K18" s="12"/>
      <c r="L18" s="12"/>
      <c r="M18" s="12"/>
      <c r="N18" s="12"/>
      <c r="O18" s="12"/>
      <c r="P18" s="12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20" t="s">
        <v>59</v>
      </c>
      <c r="C19" s="21">
        <f t="shared" ref="C19:H19" si="9">C16*20250*12</f>
        <v>0</v>
      </c>
      <c r="D19" s="23">
        <f t="shared" si="9"/>
        <v>729000</v>
      </c>
      <c r="E19" s="23">
        <f t="shared" si="9"/>
        <v>2673000</v>
      </c>
      <c r="F19" s="23">
        <f t="shared" si="9"/>
        <v>3888000</v>
      </c>
      <c r="G19" s="23">
        <f t="shared" si="9"/>
        <v>6075000</v>
      </c>
      <c r="H19" s="23">
        <f t="shared" si="9"/>
        <v>6561000</v>
      </c>
      <c r="I19" s="11"/>
      <c r="J19" s="12"/>
      <c r="K19" s="12"/>
      <c r="L19" s="12"/>
      <c r="M19" s="12"/>
      <c r="N19" s="12"/>
      <c r="O19" s="1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20" t="s">
        <v>60</v>
      </c>
      <c r="C20" s="23">
        <f t="shared" ref="C20:H20" si="10">SUM(C13,C17,C18,C19,)</f>
        <v>3599100</v>
      </c>
      <c r="D20" s="23">
        <f t="shared" si="10"/>
        <v>5858400</v>
      </c>
      <c r="E20" s="23">
        <f t="shared" si="10"/>
        <v>10920240</v>
      </c>
      <c r="F20" s="23">
        <f t="shared" si="10"/>
        <v>14615400</v>
      </c>
      <c r="G20" s="23">
        <f t="shared" si="10"/>
        <v>18960300</v>
      </c>
      <c r="H20" s="23">
        <f t="shared" si="10"/>
        <v>22932600</v>
      </c>
      <c r="I20" s="13"/>
      <c r="J20" s="28" t="s">
        <v>23</v>
      </c>
      <c r="K20" s="23">
        <f t="array" ref="K20">NPV(10%,C27:H27)</f>
        <v>17891517.29</v>
      </c>
      <c r="L20" s="11"/>
      <c r="M20" s="11"/>
      <c r="U20" s="11"/>
      <c r="V20" s="11"/>
      <c r="W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28" t="s">
        <v>24</v>
      </c>
      <c r="K21" s="29">
        <f>IRR(C27:H27)</f>
        <v>0.8583374204</v>
      </c>
      <c r="L21" s="11"/>
      <c r="M21" s="11"/>
      <c r="U21" s="11"/>
      <c r="V21" s="11"/>
      <c r="W21" s="11"/>
    </row>
    <row r="22">
      <c r="A22" s="11"/>
      <c r="B22" s="14" t="s">
        <v>61</v>
      </c>
      <c r="C22" s="15"/>
      <c r="D22" s="15"/>
      <c r="E22" s="15"/>
      <c r="F22" s="15"/>
      <c r="G22" s="15"/>
      <c r="H22" s="16"/>
      <c r="I22" s="13"/>
      <c r="J22" s="28" t="s">
        <v>62</v>
      </c>
      <c r="K22" s="20" t="s">
        <v>63</v>
      </c>
      <c r="L22" s="13"/>
      <c r="M22" s="11"/>
      <c r="U22" s="11"/>
      <c r="V22" s="11"/>
      <c r="W22" s="11"/>
    </row>
    <row r="23">
      <c r="A23" s="11"/>
      <c r="B23" s="17"/>
      <c r="C23" s="18"/>
      <c r="D23" s="18"/>
      <c r="E23" s="18"/>
      <c r="F23" s="18"/>
      <c r="G23" s="18"/>
      <c r="H23" s="19"/>
      <c r="I23" s="13"/>
      <c r="J23" s="30"/>
      <c r="K23" s="30"/>
      <c r="L23" s="3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2"/>
      <c r="B24" s="27" t="s">
        <v>29</v>
      </c>
      <c r="C24" s="20" t="s">
        <v>30</v>
      </c>
      <c r="D24" s="20" t="s">
        <v>31</v>
      </c>
      <c r="E24" s="20" t="s">
        <v>32</v>
      </c>
      <c r="F24" s="20" t="s">
        <v>33</v>
      </c>
      <c r="G24" s="20" t="s">
        <v>34</v>
      </c>
      <c r="H24" s="20" t="s">
        <v>35</v>
      </c>
      <c r="I24" s="13"/>
      <c r="J24" s="28" t="s">
        <v>64</v>
      </c>
      <c r="K24" s="27">
        <v>0.0</v>
      </c>
      <c r="L24" s="20">
        <v>1.0</v>
      </c>
      <c r="M24" s="20">
        <v>2.0</v>
      </c>
      <c r="N24" s="20">
        <v>3.0</v>
      </c>
      <c r="O24" s="20">
        <v>4.0</v>
      </c>
      <c r="P24" s="20">
        <v>5.0</v>
      </c>
      <c r="Q24" s="11"/>
      <c r="R24" s="11"/>
      <c r="S24" s="11"/>
      <c r="T24" s="11"/>
      <c r="U24" s="11"/>
      <c r="V24" s="11"/>
      <c r="W24" s="11"/>
    </row>
    <row r="25">
      <c r="A25" s="12"/>
      <c r="B25" s="20" t="s">
        <v>65</v>
      </c>
      <c r="C25" s="31">
        <f t="shared" ref="C25:H25" si="11">C20</f>
        <v>3599100</v>
      </c>
      <c r="D25" s="31">
        <f t="shared" si="11"/>
        <v>5858400</v>
      </c>
      <c r="E25" s="23">
        <f t="shared" si="11"/>
        <v>10920240</v>
      </c>
      <c r="F25" s="23">
        <f t="shared" si="11"/>
        <v>14615400</v>
      </c>
      <c r="G25" s="23">
        <f t="shared" si="11"/>
        <v>18960300</v>
      </c>
      <c r="H25" s="23">
        <f t="shared" si="11"/>
        <v>22932600</v>
      </c>
      <c r="I25" s="13"/>
      <c r="J25" s="28" t="s">
        <v>66</v>
      </c>
      <c r="K25" s="31">
        <f t="shared" ref="K25:P25" si="12">C27</f>
        <v>-3064524.882</v>
      </c>
      <c r="L25" s="31">
        <f t="shared" si="12"/>
        <v>-1043850</v>
      </c>
      <c r="M25" s="23">
        <f t="shared" si="12"/>
        <v>3687778.2</v>
      </c>
      <c r="N25" s="23">
        <f t="shared" si="12"/>
        <v>6898441.28</v>
      </c>
      <c r="O25" s="23">
        <f t="shared" si="12"/>
        <v>10514013.14</v>
      </c>
      <c r="P25" s="23">
        <f t="shared" si="12"/>
        <v>13338701.83</v>
      </c>
      <c r="Q25" s="11"/>
      <c r="R25" s="11"/>
      <c r="S25" s="11"/>
      <c r="T25" s="11"/>
      <c r="U25" s="11"/>
      <c r="V25" s="11"/>
      <c r="W25" s="11"/>
    </row>
    <row r="26">
      <c r="A26" s="11"/>
      <c r="B26" s="20" t="s">
        <v>67</v>
      </c>
      <c r="C26" s="31">
        <f t="shared" ref="C26:H26" si="13">K16</f>
        <v>-6663624.882</v>
      </c>
      <c r="D26" s="23">
        <f t="shared" si="13"/>
        <v>-6902250</v>
      </c>
      <c r="E26" s="23">
        <f t="shared" si="13"/>
        <v>-7232461.8</v>
      </c>
      <c r="F26" s="23">
        <f t="shared" si="13"/>
        <v>-7716958.72</v>
      </c>
      <c r="G26" s="23">
        <f t="shared" si="13"/>
        <v>-8446286.856</v>
      </c>
      <c r="H26" s="23">
        <f t="shared" si="13"/>
        <v>-9593898.173</v>
      </c>
      <c r="I26" s="13"/>
      <c r="J26" s="28" t="s">
        <v>68</v>
      </c>
      <c r="K26" s="23">
        <f>K25</f>
        <v>-3064524.882</v>
      </c>
      <c r="L26" s="23">
        <f>K25+L25</f>
        <v>-4108374.882</v>
      </c>
      <c r="M26" s="23">
        <f t="shared" ref="M26:P26" si="14">L26+M25</f>
        <v>-420596.6823</v>
      </c>
      <c r="N26" s="23">
        <f t="shared" si="14"/>
        <v>6477844.598</v>
      </c>
      <c r="O26" s="23">
        <f t="shared" si="14"/>
        <v>16991857.74</v>
      </c>
      <c r="P26" s="23">
        <f t="shared" si="14"/>
        <v>30330559.57</v>
      </c>
      <c r="Q26" s="11"/>
      <c r="R26" s="11"/>
      <c r="S26" s="11"/>
      <c r="T26" s="11"/>
      <c r="U26" s="11"/>
      <c r="V26" s="11"/>
      <c r="W26" s="11"/>
    </row>
    <row r="27">
      <c r="A27" s="11"/>
      <c r="B27" s="20" t="s">
        <v>66</v>
      </c>
      <c r="C27" s="23">
        <f t="shared" ref="C27:H27" si="15">SUM(C25:C26)</f>
        <v>-3064524.882</v>
      </c>
      <c r="D27" s="23">
        <f t="shared" si="15"/>
        <v>-1043850</v>
      </c>
      <c r="E27" s="23">
        <f t="shared" si="15"/>
        <v>3687778.2</v>
      </c>
      <c r="F27" s="23">
        <f t="shared" si="15"/>
        <v>6898441.28</v>
      </c>
      <c r="G27" s="23">
        <f t="shared" si="15"/>
        <v>10514013.14</v>
      </c>
      <c r="H27" s="23">
        <f t="shared" si="15"/>
        <v>13338701.83</v>
      </c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2"/>
      <c r="C28" s="12"/>
      <c r="D28" s="12"/>
      <c r="E28" s="12"/>
      <c r="F28" s="12"/>
      <c r="G28" s="12"/>
      <c r="H28" s="12"/>
      <c r="I28" s="13"/>
      <c r="J28" s="32"/>
      <c r="K28" s="32"/>
      <c r="L28" s="32"/>
      <c r="M28" s="32"/>
      <c r="N28" s="32"/>
      <c r="O28" s="3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2"/>
      <c r="C29" s="12"/>
      <c r="D29" s="12"/>
      <c r="E29" s="12"/>
      <c r="F29" s="12"/>
      <c r="G29" s="12"/>
      <c r="H29" s="12"/>
      <c r="I29" s="13"/>
      <c r="J29" s="32"/>
      <c r="K29" s="32"/>
      <c r="L29" s="32"/>
      <c r="M29" s="30"/>
      <c r="N29" s="32"/>
      <c r="O29" s="3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2"/>
      <c r="C30" s="12"/>
      <c r="D30" s="12"/>
      <c r="E30" s="12"/>
      <c r="F30" s="12"/>
      <c r="G30" s="12"/>
      <c r="H30" s="12"/>
      <c r="I30" s="13"/>
      <c r="J30" s="32"/>
      <c r="K30" s="32"/>
      <c r="L30" s="32"/>
      <c r="M30" s="32"/>
      <c r="N30" s="32"/>
      <c r="O30" s="3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2"/>
      <c r="C31" s="12"/>
      <c r="D31" s="12"/>
      <c r="E31" s="12"/>
      <c r="F31" s="12"/>
      <c r="G31" s="12"/>
      <c r="H31" s="12"/>
      <c r="I31" s="13"/>
      <c r="J31" s="32"/>
      <c r="K31" s="32"/>
      <c r="L31" s="32"/>
      <c r="M31" s="32"/>
      <c r="N31" s="32"/>
      <c r="O31" s="3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2"/>
      <c r="C32" s="12"/>
      <c r="D32" s="12"/>
      <c r="E32" s="12"/>
      <c r="F32" s="12"/>
      <c r="G32" s="12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2"/>
      <c r="C33" s="12"/>
      <c r="D33" s="12"/>
      <c r="E33" s="12"/>
      <c r="F33" s="12"/>
      <c r="G33" s="12"/>
      <c r="H33" s="1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2"/>
      <c r="C34" s="12"/>
      <c r="D34" s="12"/>
      <c r="E34" s="12"/>
      <c r="F34" s="12"/>
      <c r="G34" s="12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2"/>
      <c r="C35" s="12"/>
      <c r="D35" s="12"/>
      <c r="E35" s="12"/>
      <c r="F35" s="12"/>
      <c r="G35" s="12"/>
      <c r="H35" s="1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2"/>
      <c r="C36" s="12"/>
      <c r="D36" s="12"/>
      <c r="E36" s="12"/>
      <c r="F36" s="12"/>
      <c r="G36" s="12"/>
      <c r="H36" s="1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2"/>
      <c r="C37" s="12"/>
      <c r="D37" s="12"/>
      <c r="E37" s="12"/>
      <c r="F37" s="12"/>
      <c r="G37" s="12"/>
      <c r="H37" s="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2"/>
      <c r="C38" s="12"/>
      <c r="D38" s="12"/>
      <c r="E38" s="12"/>
      <c r="F38" s="12"/>
      <c r="G38" s="12"/>
      <c r="H38" s="1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2"/>
      <c r="C39" s="12"/>
      <c r="D39" s="12"/>
      <c r="E39" s="12"/>
      <c r="F39" s="12"/>
      <c r="G39" s="12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2"/>
      <c r="C40" s="12"/>
      <c r="D40" s="12"/>
      <c r="E40" s="12"/>
      <c r="F40" s="12"/>
      <c r="G40" s="12"/>
      <c r="H40" s="1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2"/>
      <c r="C41" s="12"/>
      <c r="D41" s="12"/>
      <c r="E41" s="12"/>
      <c r="F41" s="12"/>
      <c r="G41" s="12"/>
      <c r="H41" s="1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2"/>
      <c r="C42" s="12"/>
      <c r="D42" s="12"/>
      <c r="E42" s="12"/>
      <c r="F42" s="12"/>
      <c r="G42" s="12"/>
      <c r="H42" s="1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2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2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2"/>
      <c r="C47" s="12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2"/>
      <c r="C48" s="12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2"/>
      <c r="C49" s="12"/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2"/>
      <c r="C50" s="12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2"/>
      <c r="C51" s="12"/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2"/>
      <c r="C52" s="12"/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2"/>
      <c r="C53" s="12"/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</sheetData>
  <mergeCells count="4">
    <mergeCell ref="B5:H6"/>
    <mergeCell ref="J5:P6"/>
    <mergeCell ref="J12:P12"/>
    <mergeCell ref="B22:H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2025-10-10T22:26:29Z</dcterms:created>
  <dc:creator>SSDD</dc:creator>
</cp:coreProperties>
</file>